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j_resourceConversionValue" sheetId="1" r:id="rId1"/>
    <sheet name="j_abcde说明" sheetId="2" r:id="rId2"/>
    <sheet name="宝石与时间换算公式" sheetId="3" r:id="rId3"/>
    <sheet name="宝石与资源换算公式" sheetId="4" r:id="rId4"/>
  </sheets>
  <calcPr calcId="152511"/>
</workbook>
</file>

<file path=xl/calcChain.xml><?xml version="1.0" encoding="utf-8"?>
<calcChain xmlns="http://schemas.openxmlformats.org/spreadsheetml/2006/main">
  <c r="N10" i="3" l="1"/>
  <c r="N9" i="3"/>
  <c r="N8" i="3"/>
  <c r="I7" i="3"/>
  <c r="A16" i="1"/>
  <c r="A17" i="1"/>
  <c r="A10" i="1"/>
  <c r="A11" i="1"/>
  <c r="A12" i="1"/>
  <c r="A18" i="1" s="1"/>
  <c r="A13" i="1"/>
  <c r="A14" i="1"/>
  <c r="A9" i="1"/>
  <c r="A15" i="1" s="1"/>
</calcChain>
</file>

<file path=xl/sharedStrings.xml><?xml version="1.0" encoding="utf-8"?>
<sst xmlns="http://schemas.openxmlformats.org/spreadsheetml/2006/main" count="45" uniqueCount="45">
  <si>
    <t>编号</t>
    <phoneticPr fontId="1" type="noConversion"/>
  </si>
  <si>
    <t>名字</t>
    <phoneticPr fontId="1" type="noConversion"/>
  </si>
  <si>
    <t>name_STRING</t>
    <phoneticPr fontId="1" type="noConversion"/>
  </si>
  <si>
    <t>id_INT</t>
    <phoneticPr fontId="1" type="noConversion"/>
  </si>
  <si>
    <t>金币换算1</t>
    <phoneticPr fontId="1" type="noConversion"/>
  </si>
  <si>
    <t>公式参数2</t>
  </si>
  <si>
    <t>resourceType_INT</t>
    <phoneticPr fontId="1" type="noConversion"/>
  </si>
  <si>
    <t>FormulaParameter_1_INT</t>
    <phoneticPr fontId="1" type="noConversion"/>
  </si>
  <si>
    <t>FormulaParameter_2_INT</t>
  </si>
  <si>
    <t>resourceRangeMin_INT</t>
    <phoneticPr fontId="1" type="noConversion"/>
  </si>
  <si>
    <t>resourceRangeMax_INT</t>
    <phoneticPr fontId="1" type="noConversion"/>
  </si>
  <si>
    <t>金币换算2</t>
  </si>
  <si>
    <t>金币换算3</t>
  </si>
  <si>
    <t>金币换算4</t>
  </si>
  <si>
    <t>金币换算5</t>
  </si>
  <si>
    <t>金币换算6</t>
  </si>
  <si>
    <t>所需资源范围最小值（大于）</t>
    <phoneticPr fontId="1" type="noConversion"/>
  </si>
  <si>
    <t>所需资源范围最大值（小于等于）</t>
    <phoneticPr fontId="1" type="noConversion"/>
  </si>
  <si>
    <t>公式参数1 min &lt; 所需资源 &lt; = max  钻石 = （所需资源-min）/参数1 + 参数3</t>
    <phoneticPr fontId="1" type="noConversion"/>
  </si>
  <si>
    <t>魔法换算1</t>
    <phoneticPr fontId="1" type="noConversion"/>
  </si>
  <si>
    <t>魔法换算2</t>
    <phoneticPr fontId="1" type="noConversion"/>
  </si>
  <si>
    <t>魔法换算3</t>
  </si>
  <si>
    <t>魔法换算4</t>
  </si>
  <si>
    <t>魔法换算5</t>
  </si>
  <si>
    <t>魔法换算6</t>
  </si>
  <si>
    <t>时间换算1</t>
    <phoneticPr fontId="1" type="noConversion"/>
  </si>
  <si>
    <t>时间换算2</t>
  </si>
  <si>
    <t>时间换算3</t>
  </si>
  <si>
    <t>时间换算4</t>
  </si>
  <si>
    <t>资源类型 1金币、2魔法水、3时间（Time单位秒）</t>
    <phoneticPr fontId="1" type="noConversion"/>
  </si>
  <si>
    <t>宝石与时间换算公式</t>
  </si>
  <si>
    <t>时间区间一[60,3600]  时间区间二[3600,86400]  时间区间三[86400,604800]</t>
  </si>
  <si>
    <t>宝石区间一[1,20]     宝石区间二[20,260]      宝石区间三[260,1000]</t>
  </si>
  <si>
    <t>若时间x小于等于60秒，宝石y=1</t>
  </si>
  <si>
    <t>若时间x处于时间区间一，宝石y=（x-60)/{(3600-60)/(20-1)}+1</t>
  </si>
  <si>
    <t>若时间x处于时间区间二，宝石y=（x-3600)/{(86400-3600)/(260-20)}+20</t>
  </si>
  <si>
    <t>若时间x大于等于时间区间三，宝石y=（x-86400)/{(604800-86400)/(1000-260)}+260</t>
  </si>
  <si>
    <t>宝石与资源换算公式</t>
  </si>
  <si>
    <t>如果资源&lt;=100,则钻石 = 1</t>
  </si>
  <si>
    <t>100 &lt; 资源 &lt; = 1000. 钻石 = （资源-100）/225 + 1</t>
  </si>
  <si>
    <t>100 0&lt; 资源 &lt; = 10000. 钻石 = （资源-1000）/450 + 5</t>
  </si>
  <si>
    <t>10000 &lt; 资源 &lt; = 100000. 钻石 = （资源-10000）/900 + 25</t>
  </si>
  <si>
    <t>100 000&lt; 资源 &lt; = 1000000. 钻石 = （资源-100000）/1894 + 125</t>
  </si>
  <si>
    <t>1000000 &lt; 资源 &lt; = 10000000. 钻石 = （资源-1000000）/3750 + 600</t>
  </si>
  <si>
    <t>（小数点后的数值四舍五入）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</si>
</sst>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2"/>
      <color indexed="10"/>
      <name val="宋体"/>
      <family val="3"/>
      <charset val="134"/>
    </font>
    <font>
      <sz val="10.5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/>
    <xf numFmtId="0" fontId="3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Fill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"/>
  <sheetViews>
    <sheetView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17" sqref="E17"/>
    </sheetView>
  </sheetViews>
  <sheetFormatPr defaultRowHeight="13.5" x14ac:dyDescent="0.15"/>
  <cols>
    <col min="1" max="1" width="9.5" bestFit="1" customWidth="1"/>
    <col min="2" max="2" width="17.875" customWidth="1"/>
    <col min="3" max="3" width="27.375" customWidth="1"/>
    <col min="4" max="5" width="24.125" customWidth="1"/>
    <col min="6" max="7" width="28.25" bestFit="1" customWidth="1"/>
  </cols>
  <sheetData>
    <row r="1" spans="1:7" s="1" customFormat="1" x14ac:dyDescent="0.15">
      <c r="A1" s="1" t="s">
        <v>0</v>
      </c>
      <c r="B1" s="1" t="s">
        <v>1</v>
      </c>
      <c r="C1" s="1" t="s">
        <v>29</v>
      </c>
      <c r="D1" s="1" t="s">
        <v>16</v>
      </c>
      <c r="E1" s="1" t="s">
        <v>17</v>
      </c>
      <c r="F1" s="1" t="s">
        <v>18</v>
      </c>
      <c r="G1" s="1" t="s">
        <v>5</v>
      </c>
    </row>
    <row r="2" spans="1:7" s="1" customFormat="1" x14ac:dyDescent="0.15">
      <c r="A2" s="1" t="s">
        <v>3</v>
      </c>
      <c r="B2" s="1" t="s">
        <v>2</v>
      </c>
      <c r="C2" s="1" t="s">
        <v>6</v>
      </c>
      <c r="D2" s="1" t="s">
        <v>9</v>
      </c>
      <c r="E2" s="1" t="s">
        <v>10</v>
      </c>
      <c r="F2" s="1" t="s">
        <v>7</v>
      </c>
      <c r="G2" s="1" t="s">
        <v>8</v>
      </c>
    </row>
    <row r="3" spans="1:7" x14ac:dyDescent="0.15">
      <c r="A3">
        <v>50100101</v>
      </c>
      <c r="B3" t="s">
        <v>4</v>
      </c>
      <c r="C3">
        <v>1</v>
      </c>
      <c r="D3">
        <v>0</v>
      </c>
      <c r="E3">
        <v>100</v>
      </c>
      <c r="F3">
        <v>101</v>
      </c>
      <c r="G3">
        <v>1</v>
      </c>
    </row>
    <row r="4" spans="1:7" x14ac:dyDescent="0.15">
      <c r="A4">
        <v>50100102</v>
      </c>
      <c r="B4" t="s">
        <v>11</v>
      </c>
      <c r="C4">
        <v>1</v>
      </c>
      <c r="D4">
        <v>100</v>
      </c>
      <c r="E4">
        <v>1000</v>
      </c>
      <c r="F4">
        <v>225</v>
      </c>
      <c r="G4">
        <v>1</v>
      </c>
    </row>
    <row r="5" spans="1:7" x14ac:dyDescent="0.15">
      <c r="A5">
        <v>50100103</v>
      </c>
      <c r="B5" t="s">
        <v>12</v>
      </c>
      <c r="C5">
        <v>1</v>
      </c>
      <c r="D5">
        <v>1000</v>
      </c>
      <c r="E5">
        <v>10000</v>
      </c>
      <c r="F5">
        <v>450</v>
      </c>
      <c r="G5">
        <v>5</v>
      </c>
    </row>
    <row r="6" spans="1:7" x14ac:dyDescent="0.15">
      <c r="A6">
        <v>50100104</v>
      </c>
      <c r="B6" t="s">
        <v>13</v>
      </c>
      <c r="C6">
        <v>1</v>
      </c>
      <c r="D6">
        <v>10000</v>
      </c>
      <c r="E6">
        <v>100000</v>
      </c>
      <c r="F6">
        <v>900</v>
      </c>
      <c r="G6">
        <v>25</v>
      </c>
    </row>
    <row r="7" spans="1:7" x14ac:dyDescent="0.15">
      <c r="A7">
        <v>50100105</v>
      </c>
      <c r="B7" t="s">
        <v>14</v>
      </c>
      <c r="C7">
        <v>1</v>
      </c>
      <c r="D7">
        <v>100000</v>
      </c>
      <c r="E7">
        <v>1000000</v>
      </c>
      <c r="F7">
        <v>1894</v>
      </c>
      <c r="G7">
        <v>125</v>
      </c>
    </row>
    <row r="8" spans="1:7" x14ac:dyDescent="0.15">
      <c r="A8">
        <v>50100106</v>
      </c>
      <c r="B8" t="s">
        <v>15</v>
      </c>
      <c r="C8">
        <v>1</v>
      </c>
      <c r="D8">
        <v>1000000</v>
      </c>
      <c r="E8">
        <v>100000000</v>
      </c>
      <c r="F8">
        <v>3750</v>
      </c>
      <c r="G8">
        <v>600</v>
      </c>
    </row>
    <row r="9" spans="1:7" x14ac:dyDescent="0.15">
      <c r="A9">
        <f>A3+100</f>
        <v>50100201</v>
      </c>
      <c r="B9" t="s">
        <v>19</v>
      </c>
      <c r="C9">
        <v>2</v>
      </c>
      <c r="D9">
        <v>0</v>
      </c>
      <c r="E9">
        <v>100</v>
      </c>
      <c r="F9">
        <v>101</v>
      </c>
      <c r="G9">
        <v>1</v>
      </c>
    </row>
    <row r="10" spans="1:7" x14ac:dyDescent="0.15">
      <c r="A10">
        <f t="shared" ref="A10:A18" si="0">A4+100</f>
        <v>50100202</v>
      </c>
      <c r="B10" t="s">
        <v>20</v>
      </c>
      <c r="C10">
        <v>2</v>
      </c>
      <c r="D10">
        <v>100</v>
      </c>
      <c r="E10">
        <v>1000</v>
      </c>
      <c r="F10">
        <v>225</v>
      </c>
      <c r="G10">
        <v>1</v>
      </c>
    </row>
    <row r="11" spans="1:7" x14ac:dyDescent="0.15">
      <c r="A11">
        <f t="shared" si="0"/>
        <v>50100203</v>
      </c>
      <c r="B11" t="s">
        <v>21</v>
      </c>
      <c r="C11">
        <v>2</v>
      </c>
      <c r="D11">
        <v>1000</v>
      </c>
      <c r="E11">
        <v>10000</v>
      </c>
      <c r="F11">
        <v>450</v>
      </c>
      <c r="G11">
        <v>5</v>
      </c>
    </row>
    <row r="12" spans="1:7" x14ac:dyDescent="0.15">
      <c r="A12">
        <f t="shared" si="0"/>
        <v>50100204</v>
      </c>
      <c r="B12" t="s">
        <v>22</v>
      </c>
      <c r="C12">
        <v>2</v>
      </c>
      <c r="D12">
        <v>10000</v>
      </c>
      <c r="E12">
        <v>100000</v>
      </c>
      <c r="F12">
        <v>900</v>
      </c>
      <c r="G12">
        <v>25</v>
      </c>
    </row>
    <row r="13" spans="1:7" x14ac:dyDescent="0.15">
      <c r="A13">
        <f t="shared" si="0"/>
        <v>50100205</v>
      </c>
      <c r="B13" t="s">
        <v>23</v>
      </c>
      <c r="C13">
        <v>2</v>
      </c>
      <c r="D13">
        <v>100000</v>
      </c>
      <c r="E13">
        <v>1000000</v>
      </c>
      <c r="F13">
        <v>1894</v>
      </c>
      <c r="G13">
        <v>125</v>
      </c>
    </row>
    <row r="14" spans="1:7" x14ac:dyDescent="0.15">
      <c r="A14">
        <f t="shared" si="0"/>
        <v>50100206</v>
      </c>
      <c r="B14" t="s">
        <v>24</v>
      </c>
      <c r="C14">
        <v>2</v>
      </c>
      <c r="D14">
        <v>1000000</v>
      </c>
      <c r="E14">
        <v>100000000</v>
      </c>
      <c r="F14">
        <v>3750</v>
      </c>
      <c r="G14">
        <v>600</v>
      </c>
    </row>
    <row r="15" spans="1:7" x14ac:dyDescent="0.15">
      <c r="A15">
        <f t="shared" si="0"/>
        <v>50100301</v>
      </c>
      <c r="B15" t="s">
        <v>25</v>
      </c>
      <c r="C15">
        <v>3</v>
      </c>
      <c r="D15">
        <v>1</v>
      </c>
      <c r="E15">
        <v>60</v>
      </c>
      <c r="F15">
        <v>61</v>
      </c>
      <c r="G15">
        <v>1</v>
      </c>
    </row>
    <row r="16" spans="1:7" x14ac:dyDescent="0.15">
      <c r="A16">
        <f t="shared" si="0"/>
        <v>50100302</v>
      </c>
      <c r="B16" t="s">
        <v>26</v>
      </c>
      <c r="C16">
        <v>3</v>
      </c>
      <c r="D16">
        <v>60</v>
      </c>
      <c r="E16">
        <v>3600</v>
      </c>
      <c r="F16">
        <v>19</v>
      </c>
      <c r="G16">
        <v>1</v>
      </c>
    </row>
    <row r="17" spans="1:7" x14ac:dyDescent="0.15">
      <c r="A17">
        <f t="shared" si="0"/>
        <v>50100303</v>
      </c>
      <c r="B17" t="s">
        <v>27</v>
      </c>
      <c r="C17">
        <v>3</v>
      </c>
      <c r="D17">
        <v>3600</v>
      </c>
      <c r="E17">
        <v>86400</v>
      </c>
      <c r="F17">
        <v>186</v>
      </c>
      <c r="G17">
        <v>1</v>
      </c>
    </row>
    <row r="18" spans="1:7" x14ac:dyDescent="0.15">
      <c r="A18">
        <f t="shared" si="0"/>
        <v>50100304</v>
      </c>
      <c r="B18" t="s">
        <v>28</v>
      </c>
      <c r="C18">
        <v>3</v>
      </c>
      <c r="D18">
        <v>86400</v>
      </c>
      <c r="E18">
        <v>604800</v>
      </c>
      <c r="F18">
        <v>345</v>
      </c>
      <c r="G18">
        <v>20</v>
      </c>
    </row>
    <row r="19" spans="1:7" x14ac:dyDescent="0.15">
      <c r="F19">
        <v>700</v>
      </c>
      <c r="G19">
        <v>260</v>
      </c>
    </row>
  </sheetData>
  <phoneticPr fontId="1" type="noConversion"/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27" sqref="E2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10"/>
  <sheetViews>
    <sheetView workbookViewId="0">
      <selection sqref="A1:XFD1048576"/>
    </sheetView>
  </sheetViews>
  <sheetFormatPr defaultColWidth="9" defaultRowHeight="13.5" x14ac:dyDescent="0.15"/>
  <cols>
    <col min="1" max="16384" width="9" style="3"/>
  </cols>
  <sheetData>
    <row r="2" spans="2:14" ht="14.25" customHeight="1" x14ac:dyDescent="0.15">
      <c r="B2" s="2" t="s">
        <v>30</v>
      </c>
    </row>
    <row r="4" spans="2:14" x14ac:dyDescent="0.15">
      <c r="B4" s="4" t="s">
        <v>31</v>
      </c>
    </row>
    <row r="5" spans="2:14" x14ac:dyDescent="0.15">
      <c r="B5" s="4" t="s">
        <v>32</v>
      </c>
    </row>
    <row r="6" spans="2:14" x14ac:dyDescent="0.15">
      <c r="B6" s="4"/>
    </row>
    <row r="7" spans="2:14" x14ac:dyDescent="0.15">
      <c r="B7" s="4" t="s">
        <v>33</v>
      </c>
      <c r="I7" s="3">
        <f>604800/24/3600</f>
        <v>7</v>
      </c>
    </row>
    <row r="8" spans="2:14" x14ac:dyDescent="0.15">
      <c r="B8" s="4" t="s">
        <v>34</v>
      </c>
      <c r="J8" s="3">
        <v>3600</v>
      </c>
      <c r="K8" s="3">
        <v>60</v>
      </c>
      <c r="L8" s="3">
        <v>20</v>
      </c>
      <c r="M8" s="3">
        <v>1</v>
      </c>
      <c r="N8" s="3">
        <f>(J8-K8)/(L8-M8)</f>
        <v>186.31578947368422</v>
      </c>
    </row>
    <row r="9" spans="2:14" x14ac:dyDescent="0.15">
      <c r="B9" s="4" t="s">
        <v>35</v>
      </c>
      <c r="J9" s="3">
        <v>86400</v>
      </c>
      <c r="K9" s="3">
        <v>3600</v>
      </c>
      <c r="L9" s="3">
        <v>260</v>
      </c>
      <c r="M9" s="3">
        <v>20</v>
      </c>
      <c r="N9" s="3">
        <f t="shared" ref="N9:N10" si="0">(J9-K9)/(L9-M9)</f>
        <v>345</v>
      </c>
    </row>
    <row r="10" spans="2:14" x14ac:dyDescent="0.15">
      <c r="B10" s="4" t="s">
        <v>36</v>
      </c>
      <c r="J10" s="3">
        <v>604800</v>
      </c>
      <c r="K10" s="3">
        <v>86400</v>
      </c>
      <c r="L10" s="3">
        <v>1000</v>
      </c>
      <c r="M10" s="3">
        <v>260</v>
      </c>
      <c r="N10" s="3">
        <f t="shared" si="0"/>
        <v>700.54054054054052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10"/>
  <sheetViews>
    <sheetView workbookViewId="0">
      <selection sqref="A1:XFD1048576"/>
    </sheetView>
  </sheetViews>
  <sheetFormatPr defaultColWidth="9" defaultRowHeight="13.5" x14ac:dyDescent="0.15"/>
  <cols>
    <col min="1" max="16384" width="9" style="3"/>
  </cols>
  <sheetData>
    <row r="2" spans="2:2" ht="14.25" customHeight="1" x14ac:dyDescent="0.15">
      <c r="B2" s="2" t="s">
        <v>37</v>
      </c>
    </row>
    <row r="4" spans="2:2" x14ac:dyDescent="0.15">
      <c r="B4" s="4" t="s">
        <v>38</v>
      </c>
    </row>
    <row r="5" spans="2:2" x14ac:dyDescent="0.15">
      <c r="B5" s="3" t="s">
        <v>39</v>
      </c>
    </row>
    <row r="6" spans="2:2" x14ac:dyDescent="0.15">
      <c r="B6" s="3" t="s">
        <v>40</v>
      </c>
    </row>
    <row r="7" spans="2:2" x14ac:dyDescent="0.15">
      <c r="B7" s="3" t="s">
        <v>41</v>
      </c>
    </row>
    <row r="8" spans="2:2" x14ac:dyDescent="0.15">
      <c r="B8" s="3" t="s">
        <v>42</v>
      </c>
    </row>
    <row r="9" spans="2:2" x14ac:dyDescent="0.15">
      <c r="B9" s="3" t="s">
        <v>43</v>
      </c>
    </row>
    <row r="10" spans="2:2" x14ac:dyDescent="0.15">
      <c r="B10" s="3" t="s">
        <v>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j_resourceConversionValue</vt:lpstr>
      <vt:lpstr>j_abcde说明</vt:lpstr>
      <vt:lpstr>宝石与时间换算公式</vt:lpstr>
      <vt:lpstr>宝石与资源换算公式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2015-02-25T05:19:45Z</dcterms:modified>
</cp:coreProperties>
</file>